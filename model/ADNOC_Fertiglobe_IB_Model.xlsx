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49b141b00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6b6fadb8f914c6b"/>
    <x:sheet xmlns:r="http://schemas.openxmlformats.org/officeDocument/2006/relationships" name="Sources" sheetId="2" r:id="Race35617c052487e"/>
    <x:sheet xmlns:r="http://schemas.openxmlformats.org/officeDocument/2006/relationships" name="Assumptions" sheetId="3" r:id="Re8a2f796bfbd4474"/>
    <x:sheet xmlns:r="http://schemas.openxmlformats.org/officeDocument/2006/relationships" name="Historical" sheetId="4" r:id="Rc14db0e558a547a1"/>
    <x:sheet xmlns:r="http://schemas.openxmlformats.org/officeDocument/2006/relationships" name="Forecast" sheetId="5" r:id="R50adc99e06e4445d"/>
    <x:sheet xmlns:r="http://schemas.openxmlformats.org/officeDocument/2006/relationships" name="Valuation" sheetId="6" r:id="R017f2977c4c7486c"/>
    <x:sheet xmlns:r="http://schemas.openxmlformats.org/officeDocument/2006/relationships" name="Deal_Economics" sheetId="7" r:id="R2ace20f105dc4fc6"/>
    <x:sheet xmlns:r="http://schemas.openxmlformats.org/officeDocument/2006/relationships" name="Sensitivity" sheetId="8" r:id="R6383ce96bc42441c"/>
    <x:sheet xmlns:r="http://schemas.openxmlformats.org/officeDocument/2006/relationships" name="Checks" sheetId="9" r:id="R8ae8fcfcf9f6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;(0.0%);-"/>
    <x:numFmt numFmtId="201" formatCode="#,##0.000;[Red](#,##0.000);-"/>
    <x:numFmt numFmtId="202" formatCode="0.0%;[Red](0.0%);-"/>
    <x:numFmt numFmtId="203" formatCode="#,##0;[Red](#,##0);-"/>
    <x:numFmt numFmtId="204" formatCode="0.0x;[Red](0.0x);-"/>
    <x:numFmt numFmtId="205" formatCode="$#,##0;[Red]($#,##0);-"/>
    <x:numFmt numFmtId="206" formatCode="#,##0.0;[Red](#,##0.0);-"/>
    <x:numFmt numFmtId="207" formatCode="AED0.00;[Red](AED0.00);-"/>
    <x:numFmt numFmtId="208" formatCode="$#,##0.000;[Red]($#,##0.000);-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sz val="11"/>
      <x:color rgb="FF0000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4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/>
    </x:xf>
    <x:xf numFmtId="0" fontId="7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0" fontId="6" fillId="2" borderId="1" xfId="0" applyNumberFormat="1" applyFont="1" applyFill="1" applyBorder="1" applyAlignment="1">
      <x:alignment horizontal="left" wrapText="1"/>
    </x:xf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4" fontId="9" fillId="0" borderId="0" xfId="0" applyNumberFormat="1" applyFont="1" applyFill="1" applyBorder="1"/>
    <x:xf numFmtId="201" fontId="9" fillId="0" borderId="1" xfId="0" applyNumberFormat="1" applyFont="1" applyFill="1" applyBorder="1"/>
    <x:xf numFmtId="202" fontId="9" fillId="0" borderId="1" xfId="0" applyNumberFormat="1" applyFont="1" applyFill="1" applyBorder="1"/>
    <x:xf numFmtId="203" fontId="9" fillId="0" borderId="1" xfId="0" applyNumberFormat="1" applyFont="1" applyFill="1" applyBorder="1"/>
    <x:xf numFmtId="204" fontId="9" fillId="0" borderId="1" xfId="0" applyNumberFormat="1" applyFont="1" applyFill="1" applyBorder="1"/>
    <x:xf numFmtId="205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7" fillId="0" borderId="0" xfId="0" applyNumberFormat="1" applyFont="1" applyFill="1" applyBorder="1"/>
    <x:xf numFmtId="205" fontId="7" fillId="0" borderId="1" xfId="0" applyNumberFormat="1" applyFont="1" applyFill="1" applyBorder="1"/>
    <x:xf numFmtId="202" fontId="7" fillId="0" borderId="1" xfId="0" applyNumberFormat="1" applyFont="1" applyFill="1" applyBorder="1"/>
    <x:xf numFmtId="206" fontId="7" fillId="0" borderId="1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7" fontId="7" fillId="0" borderId="1" xfId="0" applyNumberFormat="1" applyFont="1" applyFill="1" applyBorder="1"/>
    <x:xf numFmtId="208" fontId="7" fillId="0" borderId="1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1" fontId="7" fillId="0" borderId="1" xfId="0" applyNumberFormat="1" applyFont="1" applyFill="1" applyBorder="1"/>
    <x:xf numFmtId="204" fontId="7" fillId="0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10" fillId="0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wrapText="1"/>
    </x:xf>
    <x:xf numFmtId="0" fontId="10" fillId="2" borderId="1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b90ed1fe24cc7" /><Relationship Type="http://schemas.openxmlformats.org/officeDocument/2006/relationships/theme" Target="/xl/theme/theme1.xml" Id="R431274933e634eec" /><Relationship Type="http://schemas.openxmlformats.org/officeDocument/2006/relationships/sharedStrings" Target="/xl/sharedStrings.xml" Id="Rcb7bafd521b045a1" /><Relationship Type="http://schemas.openxmlformats.org/officeDocument/2006/relationships/worksheet" Target="/xl/worksheets/sheet1.xml" Id="Rc6b6fadb8f914c6b" /><Relationship Type="http://schemas.openxmlformats.org/officeDocument/2006/relationships/worksheet" Target="/xl/worksheets/sheet2.xml" Id="Race35617c052487e" /><Relationship Type="http://schemas.openxmlformats.org/officeDocument/2006/relationships/worksheet" Target="/xl/worksheets/sheet3.xml" Id="Re8a2f796bfbd4474" /><Relationship Type="http://schemas.openxmlformats.org/officeDocument/2006/relationships/worksheet" Target="/xl/worksheets/sheet4.xml" Id="Rc14db0e558a547a1" /><Relationship Type="http://schemas.openxmlformats.org/officeDocument/2006/relationships/worksheet" Target="/xl/worksheets/sheet5.xml" Id="R50adc99e06e4445d" /><Relationship Type="http://schemas.openxmlformats.org/officeDocument/2006/relationships/worksheet" Target="/xl/worksheets/sheet6.xml" Id="R017f2977c4c7486c" /><Relationship Type="http://schemas.openxmlformats.org/officeDocument/2006/relationships/worksheet" Target="/xl/worksheets/sheet7.xml" Id="R2ace20f105dc4fc6" /><Relationship Type="http://schemas.openxmlformats.org/officeDocument/2006/relationships/worksheet" Target="/xl/worksheets/sheet8.xml" Id="R6383ce96bc42441c" /><Relationship Type="http://schemas.openxmlformats.org/officeDocument/2006/relationships/worksheet" Target="/xl/worksheets/sheet9.xml" Id="R8ae8fcfcf9f641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94f7e26eb34ee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3862f38eb2345e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2021A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'Historical'!$B$4:$B$5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2022A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'Historical'!$C$4:$C$5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2023A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'Historical'!$D$4:$D$5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2024A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'Historical'!$E$4:$E$5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2025A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'Historical'!$F$4:$F$5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2026E</c:v>
          </c:tx>
          <c:cat>
            <c:strRef>
              <c:f>'Historical'!$A$4:$A$5</c:f>
              <c:strCache>
                <c:ptCount val="0"/>
              </c:strCache>
            </c:strRef>
          </c:cat>
          <c:val>
            <c:numRef>
              <c:f>'Historical'!$G$4:$G$5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Revenue &amp; EBITDA Forecast</a:t>
            </a:r>
          </a:p>
        </c:rich>
      </c:tx>
    </c:title>
    <c:plotArea>
      <c:lineChart>
        <c:grouping val="standard"/>
        <c:ser>
          <c:idx val="0"/>
          <c:order val="0"/>
          <c:tx>
            <c:v>2026E</c:v>
          </c:tx>
          <c:marker>
            <c:symbol val="none"/>
          </c:marker>
          <c:cat>
            <c:strRef>
              <c:f>'Forecast'!$A$4:$A$5</c:f>
              <c:strCache>
                <c:ptCount val="0"/>
              </c:strCache>
            </c:strRef>
          </c:cat>
          <c:val>
            <c:numRef>
              <c:f>'Forecast'!$B$4:$B$5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2027E</c:v>
          </c:tx>
          <c:marker>
            <c:symbol val="none"/>
          </c:marker>
          <c:cat>
            <c:strRef>
              <c:f>'Forecast'!$A$4:$A$5</c:f>
              <c:strCache>
                <c:ptCount val="0"/>
              </c:strCache>
            </c:strRef>
          </c:cat>
          <c:val>
            <c:numRef>
              <c:f>'Forecast'!$C$4:$C$5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2028E</c:v>
          </c:tx>
          <c:marker>
            <c:symbol val="none"/>
          </c:marker>
          <c:cat>
            <c:strRef>
              <c:f>'Forecast'!$A$4:$A$5</c:f>
              <c:strCache>
                <c:ptCount val="0"/>
              </c:strCache>
            </c:strRef>
          </c:cat>
          <c:val>
            <c:numRef>
              <c:f>'Forecast'!$D$4:$D$5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2029E</c:v>
          </c:tx>
          <c:marker>
            <c:symbol val="none"/>
          </c:marker>
          <c:cat>
            <c:strRef>
              <c:f>'Forecast'!$A$4:$A$5</c:f>
              <c:strCache>
                <c:ptCount val="0"/>
              </c:strCache>
            </c:strRef>
          </c:cat>
          <c:val>
            <c:numRef>
              <c:f>'Forecast'!$E$4:$E$5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2030E</c:v>
          </c:tx>
          <c:marker>
            <c:symbol val="none"/>
          </c:marker>
          <c:cat>
            <c:strRef>
              <c:f>'Forecast'!$A$4:$A$5</c:f>
              <c:strCache>
                <c:ptCount val="0"/>
              </c:strCache>
            </c:strRef>
          </c:cat>
          <c:val>
            <c:numRef>
              <c:f>'Forecast'!$F$4:$F$5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4f7e26eb34ee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62f38eb2345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c7038f359bf44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bfb5ad2e942476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2" t="str">
        <x:v>ADNOC / Fertiglobe — Transaction Valuation &amp; Deal Economics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Valuation Date</x:v>
      </x:c>
      <x:c r="B3" s="58" t="str">
        <x:v>27 Sep 2026</x:v>
      </x:c>
      <x:c r="C3" s="57"/>
      <x:c r="D3" s="56" t="str">
        <x:v>Key Outputs</x:v>
      </x:c>
      <x:c r="E3" s="56"/>
      <x:c r="F3" s="56"/>
      <x:c r="G3" s="56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9" t="str">
        <x:v>Deal Date</x:v>
      </x:c>
      <x:c r="B4" s="57" t="str">
        <x:v>15 Dec 2023</x:v>
      </x:c>
      <x:c r="C4" s="57"/>
      <x:c r="D4" s="60" t="str">
        <x:v>Current Base DCF</x:v>
      </x:c>
      <x:c r="E4" s="61" t="str">
        <x:v>AED3.03/share</x:v>
      </x:c>
      <x:c r="F4" s="60" t="str">
        <x:v>Current market</x:v>
      </x:c>
      <x:c r="G4" s="61" t="str">
        <x:v>AED2.58/share</x:v>
      </x:c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9" t="str">
        <x:v>Buyer</x:v>
      </x:c>
      <x:c r="B5" s="57" t="str">
        <x:v>ADNOC</x:v>
      </x:c>
      <x:c r="C5" s="57"/>
      <x:c r="D5" s="60" t="str">
        <x:v>Current DCF Range</x:v>
      </x:c>
      <x:c r="E5" s="61" t="str">
        <x:v>AED2.6–3.5</x:v>
      </x:c>
      <x:c r="F5" s="60" t="str">
        <x:v>Selected Range</x:v>
      </x:c>
      <x:c r="G5" s="61" t="str">
        <x:v>AED2.4–3.3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Seller</x:v>
      </x:c>
      <x:c r="B6" s="57" t="str">
        <x:v>OCI Global / OCI Fertilizers B.V.</x:v>
      </x:c>
      <x:c r="C6" s="57"/>
      <x:c r="D6" s="60" t="str">
        <x:v>Deal-Date Base Value</x:v>
      </x:c>
      <x:c r="E6" s="61" t="str">
        <x:v>AED2.80/share</x:v>
      </x:c>
      <x:c r="F6" s="60" t="str">
        <x:v>Deal Price</x:v>
      </x:c>
      <x:c r="G6" s="61" t="str">
        <x:v>AED3.20/share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Target</x:v>
      </x:c>
      <x:c r="B7" s="57" t="str">
        <x:v>Fertiglobe plc</x:v>
      </x:c>
      <x:c r="C7" s="57"/>
      <x:c r="D7" s="60" t="str">
        <x:v>Stake Standalone Value</x:v>
      </x:c>
      <x:c r="E7" s="61" t="str">
        <x:v>$3.165bn</x:v>
      </x:c>
      <x:c r="F7" s="60" t="str">
        <x:v>Purchase Price</x:v>
      </x:c>
      <x:c r="G7" s="61" t="str">
        <x:v>$3.620bn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9" t="str">
        <x:v>Stake Acquired</x:v>
      </x:c>
      <x:c r="B8" s="57" t="str">
        <x:v>50% + 1 share</x:v>
      </x:c>
      <x:c r="C8" s="57"/>
      <x:c r="D8" s="60" t="str">
        <x:v>Strategic Value Gap</x:v>
      </x:c>
      <x:c r="E8" s="61" t="str">
        <x:v>$455m</x:v>
      </x:c>
      <x:c r="F8" s="60" t="str">
        <x:v>Required PV Benefit</x:v>
      </x:c>
      <x:c r="G8" s="61" t="str">
        <x:v>$528m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9" t="str">
        <x:v>Price / Share</x:v>
      </x:c>
      <x:c r="B9" s="57" t="str">
        <x:v>AED3.20</x:v>
      </x:c>
      <x:c r="C9" s="57"/>
      <x:c r="D9" s="60" t="str">
        <x:v>Modeled Synergy PV</x:v>
      </x:c>
      <x:c r="E9" s="61" t="str">
        <x:v>$511m</x:v>
      </x:c>
      <x:c r="F9" s="60" t="str">
        <x:v>ADNOC Captured PV</x:v>
      </x:c>
      <x:c r="G9" s="61" t="str">
        <x:v>$441m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Headline Consideration</x:v>
      </x:c>
      <x:c r="B10" s="57" t="str">
        <x:v>$3.62bn</x:v>
      </x:c>
      <x:c r="C10" s="57"/>
      <x:c r="D10" s="60" t="str">
        <x:v>Break-even Urea</x:v>
      </x:c>
      <x:c r="E10" s="61" t="str">
        <x:v>$410/t</x:v>
      </x:c>
      <x:c r="F10" s="60" t="str">
        <x:v>Break-even Utilization</x:v>
      </x:c>
      <x:c r="G10" s="61" t="str">
        <x:v>92–93%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9" t="str">
        <x:v>ADNOC Ownership</x:v>
      </x:c>
      <x:c r="B11" s="57" t="str">
        <x:v>36.2% → 86.2%</x:v>
      </x:c>
      <x:c r="C11" s="57"/>
      <x:c r="D11" s="60" t="str">
        <x:v>Base 5Y IRR</x:v>
      </x:c>
      <x:c r="E11" s="61" t="str">
        <x:v>7%</x:v>
      </x:c>
      <x:c r="F11" s="60" t="str">
        <x:v>Base 5Y MOIC</x:v>
      </x:c>
      <x:c r="G11" s="61" t="str">
        <x:v>1.36x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9" t="str">
        <x:v>Base Ex-Ante Standalone Value</x:v>
      </x:c>
      <x:c r="B12" s="57" t="str">
        <x:v>AED2.80/share</x:v>
      </x:c>
      <x:c r="C12" s="57"/>
      <x:c r="D12" s="60" t="str">
        <x:v>Conclusion</x:v>
      </x:c>
      <x:c r="E12" s="61" t="str">
        <x:v>Conditional strategic underwriting</x:v>
      </x:c>
      <x:c r="F12" s="60" t="str"/>
      <x:c r="G12" s="61" t="str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9" t="str">
        <x:v>Strategic Value Gap</x:v>
      </x:c>
      <x:c r="B13" s="57" t="str">
        <x:v>~$455m</x:v>
      </x:c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9" t="str">
        <x:v>Base Deal NPV</x:v>
      </x:c>
      <x:c r="B14" s="57" t="str">
        <x:v>~$(15)m / approx. breakeven</x:v>
      </x:c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100" t="str">
        <x:v>Note: Model is based on public information and independently modeled assumptions. It is not live advisory work or transaction execution experience.</x:v>
      </x:c>
      <x:c r="B17" s="100"/>
      <x:c r="C17" s="100"/>
      <x:c r="D17" s="100"/>
      <x:c r="E17" s="100"/>
      <x:c r="F17" s="100"/>
      <x:c r="G17" s="100"/>
      <x:c r="H17" s="100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H1"/>
    <x:mergeCell ref="D3:G3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55" hidden="0" customWidth="1"/>
    <x:col min="5" max="5" width="16" hidden="0" customWidth="1"/>
  </x:cols>
  <x:sheetData>
    <x:row r="1">
      <x:c r="A1" s="96" t="str">
        <x:v>Source Register</x:v>
      </x:c>
      <x:c r="B1" s="96"/>
      <x:c r="C1" s="96"/>
      <x:c r="D1" s="96"/>
      <x:c r="E1" s="96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Source</x:v>
      </x:c>
      <x:c r="B3" s="58" t="str">
        <x:v>Publisher</x:v>
      </x:c>
      <x:c r="C3" s="58" t="str">
        <x:v>Use</x:v>
      </x:c>
      <x:c r="D3" s="58" t="str">
        <x:v>URL</x:v>
      </x:c>
      <x:c r="E3" s="58" t="str">
        <x:v>Type</x:v>
      </x:c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Phase 1–8 outputs</x:v>
      </x:c>
      <x:c r="B4" s="57" t="str">
        <x:v>Prior project phases</x:v>
      </x:c>
      <x:c r="C4" s="57" t="str">
        <x:v>Business, model, valuation, deal economics</x:v>
      </x:c>
      <x:c r="D4" s="57" t="str">
        <x:v>User-supplied project work</x:v>
      </x:c>
      <x:c r="E4" s="57" t="str">
        <x:v>Internal project basis</x:v>
      </x:c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Fertiglobe Annual Reports</x:v>
      </x:c>
      <x:c r="B5" s="57" t="str">
        <x:v>Fertiglobe</x:v>
      </x:c>
      <x:c r="C5" s="57" t="str">
        <x:v>Historical financials and operating disclosures</x:v>
      </x:c>
      <x:c r="D5" s="57" t="str">
        <x:v>https://fertiglobe.com/investor-relations/results-reports/</x:v>
      </x:c>
      <x:c r="E5" s="57" t="str">
        <x:v>Primary</x:v>
      </x:c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ADNOC transaction announcement</x:v>
      </x:c>
      <x:c r="B6" s="57" t="str">
        <x:v>ADNOC</x:v>
      </x:c>
      <x:c r="C6" s="57" t="str">
        <x:v>Purchase terms, strategic rationale</x:v>
      </x:c>
      <x:c r="D6" s="57" t="str">
        <x:v>https://www.adnoc.ae/</x:v>
      </x:c>
      <x:c r="E6" s="57" t="str">
        <x:v>Primary</x:v>
      </x:c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OCI transaction announcements</x:v>
      </x:c>
      <x:c r="B7" s="57" t="str">
        <x:v>OCI</x:v>
      </x:c>
      <x:c r="C7" s="57" t="str">
        <x:v>Seller disclosures, consideration, approvals</x:v>
      </x:c>
      <x:c r="D7" s="57" t="str">
        <x:v>https://oci-global.com/</x:v>
      </x:c>
      <x:c r="E7" s="57" t="str">
        <x:v>Primary</x:v>
      </x:c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Fertiglobe Q2 2026 statements</x:v>
      </x:c>
      <x:c r="B8" s="57" t="str">
        <x:v>Fertiglobe</x:v>
      </x:c>
      <x:c r="C8" s="57" t="str">
        <x:v>Current capital structure, H1 actuals</x:v>
      </x:c>
      <x:c r="D8" s="57" t="str">
        <x:v>https://fertiglobe.com/investor-relations/results-reports/</x:v>
      </x:c>
      <x:c r="E8" s="57" t="str">
        <x:v>Primary</x:v>
      </x:c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Damodaran datasets</x:v>
      </x:c>
      <x:c r="B9" s="57" t="str">
        <x:v>NYU Stern</x:v>
      </x:c>
      <x:c r="C9" s="57" t="str">
        <x:v>ERP, country risk, beta reference</x:v>
      </x:c>
      <x:c r="D9" s="57" t="str">
        <x:v>https://pages.stern.nyu.edu/~adamodar/</x:v>
      </x:c>
      <x:c r="E9" s="57" t="str">
        <x:v>Market data</x:v>
      </x:c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US Treasury yields</x:v>
      </x:c>
      <x:c r="B10" s="57" t="str">
        <x:v>US Treasury</x:v>
      </x:c>
      <x:c r="C10" s="57" t="str">
        <x:v>Risk-free rate evidence</x:v>
      </x:c>
      <x:c r="D10" s="57" t="str">
        <x:v>https://home.treasury.gov/</x:v>
      </x:c>
      <x:c r="E10" s="57" t="str">
        <x:v>Market data</x:v>
      </x:c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52" hidden="0" customWidth="1"/>
  </x:cols>
  <x:sheetData>
    <x:row r="1">
      <x:c r="A1" s="96" t="str">
        <x:v>Core Model Assumptions</x:v>
      </x:c>
      <x:c r="B1" s="96"/>
      <x:c r="C1" s="96"/>
      <x:c r="D1" s="96"/>
      <x:c r="E1" s="92"/>
      <x:c r="F1" s="92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Input</x:v>
      </x:c>
      <x:c r="B3" s="58" t="str">
        <x:v>Value</x:v>
      </x:c>
      <x:c r="C3" s="58" t="str">
        <x:v>Source</x:v>
      </x:c>
      <x:c r="D3" s="58" t="str">
        <x:v>Note</x:v>
      </x:c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9" t="str">
        <x:v>FX rate (AED / USD)</x:v>
      </x:c>
      <x:c r="B4" s="70" t="n">
        <x:v>3.6725</x:v>
      </x:c>
      <x:c r="C4" s="57" t="str">
        <x:v>Phase 2</x:v>
      </x:c>
      <x:c r="D4" s="57" t="str">
        <x:v>Used to translate AED/share to USD/share</x:v>
      </x:c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9" t="str">
        <x:v>Issued shares (mm)</x:v>
      </x:c>
      <x:c r="B5" s="70" t="n">
        <x:v>8301.318925</x:v>
      </x:c>
      <x:c r="C5" s="57" t="str">
        <x:v>Phase 2/3</x:v>
      </x:c>
      <x:c r="D5" s="57" t="str">
        <x:v>Pre-/post-deal legal share count</x:v>
      </x:c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Shares acquired (mm)</x:v>
      </x:c>
      <x:c r="B6" s="70" t="n">
        <x:v>4150.659464</x:v>
      </x:c>
      <x:c r="C6" s="57" t="str">
        <x:v>Phase 2</x:v>
      </x:c>
      <x:c r="D6" s="57" t="str">
        <x:v>OCI block acquired by ADNOC</x:v>
      </x:c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Outstanding shares current (mm)</x:v>
      </x:c>
      <x:c r="B7" s="70" t="n">
        <x:v>8183</x:v>
      </x:c>
      <x:c r="C7" s="57" t="str">
        <x:v>Phase 5</x:v>
      </x:c>
      <x:c r="D7" s="57" t="str">
        <x:v>After treasury shares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9" t="str">
        <x:v>Transaction price (AED/share)</x:v>
      </x:c>
      <x:c r="B8" s="70" t="n">
        <x:v>3.2</x:v>
      </x:c>
      <x:c r="C8" s="57" t="str">
        <x:v>Phase 2</x:v>
      </x:c>
      <x:c r="D8" s="57" t="str">
        <x:v>Headline deal price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9" t="str">
        <x:v>Base deal-date standalone value (AED/share)</x:v>
      </x:c>
      <x:c r="B9" s="70" t="n">
        <x:v>2.8</x:v>
      </x:c>
      <x:c r="C9" s="57" t="str">
        <x:v>Phase 6</x:v>
      </x:c>
      <x:c r="D9" s="57" t="str">
        <x:v>Ex-ante standalone DCF midpoint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Current base DCF value (AED/share)</x:v>
      </x:c>
      <x:c r="B10" s="70" t="n">
        <x:v>3.03</x:v>
      </x:c>
      <x:c r="C10" s="57" t="str">
        <x:v>Phase 5</x:v>
      </x:c>
      <x:c r="D10" s="57" t="str">
        <x:v>Current standalone DCF base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9" t="str">
        <x:v>Current share price (AED/share)</x:v>
      </x:c>
      <x:c r="B11" s="70" t="n">
        <x:v>2.58</x:v>
      </x:c>
      <x:c r="C11" s="57" t="str">
        <x:v>Phase 5</x:v>
      </x:c>
      <x:c r="D11" s="57" t="str">
        <x:v>25 Sep 2026 close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9" t="str">
        <x:v>Purchase consideration ($bn)</x:v>
      </x:c>
      <x:c r="B12" s="70" t="n">
        <x:v>3.62</x:v>
      </x:c>
      <x:c r="C12" s="57" t="str">
        <x:v>Phase 2</x:v>
      </x:c>
      <x:c r="D12" s="57" t="str">
        <x:v>Headline consideration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9" t="str">
        <x:v>Post-deal ADNOC ownership</x:v>
      </x:c>
      <x:c r="B13" s="71" t="n">
        <x:v>0.862</x:v>
      </x:c>
      <x:c r="C13" s="57" t="str">
        <x:v>Phase 2</x:v>
      </x:c>
      <x:c r="D13" s="57" t="str">
        <x:v>Economic post-close ownership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9" t="str">
        <x:v>Acquired stake</x:v>
      </x:c>
      <x:c r="B14" s="71" t="n">
        <x:v>0.5</x:v>
      </x:c>
      <x:c r="C14" s="57" t="str">
        <x:v>Phase 2</x:v>
      </x:c>
      <x:c r="D14" s="57" t="str">
        <x:v>50% + 1 share, approximated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9" t="str">
        <x:v>Required company-wide PV benefit ($bn)</x:v>
      </x:c>
      <x:c r="B15" s="70" t="n">
        <x:v>0.528</x:v>
      </x:c>
      <x:c r="C15" s="57" t="str">
        <x:v>Phase 6</x:v>
      </x:c>
      <x:c r="D15" s="57" t="str">
        <x:v>Base control-wide break-even PV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9" t="str">
        <x:v>Modeled company-wide synergy PV ($bn)</x:v>
      </x:c>
      <x:c r="B16" s="70" t="n">
        <x:v>0.511</x:v>
      </x:c>
      <x:c r="C16" s="57" t="str">
        <x:v>Phase 6</x:v>
      </x:c>
      <x:c r="D16" s="57" t="str">
        <x:v>Analyst assumption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9" t="str">
        <x:v>ADNOC captured synergy PV ($bn)</x:v>
      </x:c>
      <x:c r="B17" s="72" t="n">
        <x:v>0.441</x:v>
      </x:c>
      <x:c r="C17" s="57" t="str">
        <x:v>Phase 6</x:v>
      </x:c>
      <x:c r="D17" s="57" t="str">
        <x:v>Modeled capture across 86.2%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9" t="str">
        <x:v>Break-even urea ($/t)</x:v>
      </x:c>
      <x:c r="B18" s="71" t="n">
        <x:v>410</x:v>
      </x:c>
      <x:c r="C18" s="57" t="str">
        <x:v>Phase 6</x:v>
      </x:c>
      <x:c r="D18" s="57" t="str">
        <x:v>Model output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9" t="str">
        <x:v>Break-even utilization</x:v>
      </x:c>
      <x:c r="B19" s="71" t="n">
        <x:v>0.925</x:v>
      </x:c>
      <x:c r="C19" s="57" t="str">
        <x:v>Phase 6</x:v>
      </x:c>
      <x:c r="D19" s="57" t="str">
        <x:v>Model output midpoint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9" t="str">
        <x:v>Base 5-year IRR</x:v>
      </x:c>
      <x:c r="B20" s="73" t="n">
        <x:v>0.07</x:v>
      </x:c>
      <x:c r="C20" s="57" t="str">
        <x:v>Phase 6</x:v>
      </x:c>
      <x:c r="D20" s="57" t="str">
        <x:v>Analytical return framework</x:v>
      </x:c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9" t="str">
        <x:v>Base 5-year MOIC</x:v>
      </x:c>
      <x:c r="B21" s="73" t="n">
        <x:v>1.36</x:v>
      </x:c>
      <x:c r="C21" s="57" t="str">
        <x:v>Phase 6</x:v>
      </x:c>
      <x:c r="D21" s="57" t="str">
        <x:v>Analytical return framework</x:v>
      </x:c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92" t="str">
        <x:v>Historical Financial Summary ($mm except where noted)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Metric</x:v>
      </x:c>
      <x:c r="B3" s="58" t="str">
        <x:v>2021A</x:v>
      </x:c>
      <x:c r="C3" s="58" t="str">
        <x:v>2022A</x:v>
      </x:c>
      <x:c r="D3" s="58" t="str">
        <x:v>2023A</x:v>
      </x:c>
      <x:c r="E3" s="58" t="str">
        <x:v>2024A</x:v>
      </x:c>
      <x:c r="F3" s="58" t="str">
        <x:v>2025A</x:v>
      </x:c>
      <x:c r="G3" s="58" t="str">
        <x:v>2026E</x:v>
      </x:c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Revenue</x:v>
      </x:c>
      <x:c r="B4" s="78" t="n">
        <x:v>3311</x:v>
      </x:c>
      <x:c r="C4" s="78" t="n">
        <x:v>5028</x:v>
      </x:c>
      <x:c r="D4" s="78" t="n">
        <x:v>2416</x:v>
      </x:c>
      <x:c r="E4" s="78" t="n">
        <x:v>2009</x:v>
      </x:c>
      <x:c r="F4" s="78" t="n">
        <x:v>2827</x:v>
      </x:c>
      <x:c r="G4" s="78" t="n">
        <x:v>3745</x:v>
      </x:c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Adjusted EBITDA</x:v>
      </x:c>
      <x:c r="B5" s="78" t="n">
        <x:v>1551</x:v>
      </x:c>
      <x:c r="C5" s="78" t="n">
        <x:v>2473</x:v>
      </x:c>
      <x:c r="D5" s="78" t="n">
        <x:v>1004</x:v>
      </x:c>
      <x:c r="E5" s="78" t="n">
        <x:v>648</x:v>
      </x:c>
      <x:c r="F5" s="78" t="n">
        <x:v>1020</x:v>
      </x:c>
      <x:c r="G5" s="78" t="n">
        <x:v>1332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EBITDA Margin</x:v>
      </x:c>
      <x:c r="B6" s="79" t="n">
        <x:f>B5/B4</x:f>
        <x:v>0.4684385382059801</x:v>
      </x:c>
      <x:c r="C6" s="79" t="n">
        <x:f>C5/C4</x:f>
        <x:v>0.49184566428003185</x:v>
      </x:c>
      <x:c r="D6" s="79" t="n">
        <x:f>D5/D4</x:f>
        <x:v>0.4155629139072848</x:v>
      </x:c>
      <x:c r="E6" s="79" t="n">
        <x:f>E5/E4</x:f>
        <x:v>0.32254853160776503</x:v>
      </x:c>
      <x:c r="F6" s="79" t="n">
        <x:f>F5/F4</x:f>
        <x:v>0.3608065086664308</x:v>
      </x:c>
      <x:c r="G6" s="79" t="n">
        <x:f>G5/G4</x:f>
        <x:v>0.3556742323097463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Management / Analyst FCF</x:v>
      </x:c>
      <x:c r="B7" s="78" t="n">
        <x:v>1182</x:v>
      </x:c>
      <x:c r="C7" s="78" t="n">
        <x:v>1912</x:v>
      </x:c>
      <x:c r="D7" s="78" t="n">
        <x:v>-201</x:v>
      </x:c>
      <x:c r="E7" s="78" t="n">
        <x:v>249</x:v>
      </x:c>
      <x:c r="F7" s="78" t="n">
        <x:v>540</x:v>
      </x:c>
      <x:c r="G7" s="78" t="n">
        <x:v>903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Net Debt</x:v>
      </x:c>
      <x:c r="B8" s="78" t="n">
        <x:v>487</x:v>
      </x:c>
      <x:c r="C8" s="78" t="n">
        <x:v>-287</x:v>
      </x:c>
      <x:c r="D8" s="78" t="n">
        <x:v>905</x:v>
      </x:c>
      <x:c r="E8" s="78" t="n">
        <x:v>1048</x:v>
      </x:c>
      <x:c r="F8" s="78" t="n">
        <x:v>1006</x:v>
      </x:c>
      <x:c r="G8" s="78" t="n">
        <x:v>609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Own Product Volume (mt)</x:v>
      </x:c>
      <x:c r="B9" s="80" t="n">
        <x:v>5.573</x:v>
      </x:c>
      <x:c r="C9" s="80" t="n">
        <x:v>5.431</x:v>
      </x:c>
      <x:c r="D9" s="80" t="n">
        <x:v>5.711</x:v>
      </x:c>
      <x:c r="E9" s="80" t="n">
        <x:v>5.345</x:v>
      </x:c>
      <x:c r="F9" s="80" t="n">
        <x:v>5.498</x:v>
      </x:c>
      <x:c r="G9" s="80" t="n">
        <x:v>5.55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Egypt Urea Benchmark ($/t)</x:v>
      </x:c>
      <x:c r="B10" s="78" t="n">
        <x:v>529</x:v>
      </x:c>
      <x:c r="C10" s="78" t="n">
        <x:v>756</x:v>
      </x:c>
      <x:c r="D10" s="78" t="n">
        <x:v>386</x:v>
      </x:c>
      <x:c r="E10" s="78" t="n">
        <x:v>349</x:v>
      </x:c>
      <x:c r="F10" s="78" t="n">
        <x:v>440</x:v>
      </x:c>
      <x:c r="G10" s="78" t="n">
        <x:v>575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ME Ammonia Benchmark ($/t)</x:v>
      </x:c>
      <x:c r="B11" s="78" t="n">
        <x:v>535</x:v>
      </x:c>
      <x:c r="C11" s="78" t="n">
        <x:v>990</x:v>
      </x:c>
      <x:c r="D11" s="78" t="n">
        <x:v>415</x:v>
      </x:c>
      <x:c r="E11" s="78" t="n">
        <x:v>357</x:v>
      </x:c>
      <x:c r="F11" s="78" t="n">
        <x:v>343</x:v>
      </x:c>
      <x:c r="G11" s="78" t="n">
        <x:v>525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c7038f359bf447f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92" t="str">
        <x:v>Base Case Forecast ($mm except prices / volumes)</x:v>
      </x:c>
      <x:c r="B1" s="92"/>
      <x:c r="C1" s="92"/>
      <x:c r="D1" s="92"/>
      <x:c r="E1" s="92"/>
      <x:c r="F1" s="92"/>
      <x:c r="G1" s="92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Metric</x:v>
      </x:c>
      <x:c r="B3" s="58" t="str">
        <x:v>2026E</x:v>
      </x:c>
      <x:c r="C3" s="58" t="str">
        <x:v>2027E</x:v>
      </x:c>
      <x:c r="D3" s="58" t="str">
        <x:v>2028E</x:v>
      </x:c>
      <x:c r="E3" s="58" t="str">
        <x:v>2029E</x:v>
      </x:c>
      <x:c r="F3" s="58" t="str">
        <x:v>2030E</x:v>
      </x:c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Revenue</x:v>
      </x:c>
      <x:c r="B4" s="78" t="n">
        <x:v>3745</x:v>
      </x:c>
      <x:c r="C4" s="78" t="n">
        <x:v>3239</x:v>
      </x:c>
      <x:c r="D4" s="78" t="n">
        <x:v>3145</x:v>
      </x:c>
      <x:c r="E4" s="78" t="n">
        <x:v>3163</x:v>
      </x:c>
      <x:c r="F4" s="78" t="n">
        <x:v>3226</x:v>
      </x:c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Adjusted / Normalized EBITDA</x:v>
      </x:c>
      <x:c r="B5" s="78" t="n">
        <x:v>1332</x:v>
      </x:c>
      <x:c r="C5" s="78" t="n">
        <x:v>1163</x:v>
      </x:c>
      <x:c r="D5" s="78" t="n">
        <x:v>1143</x:v>
      </x:c>
      <x:c r="E5" s="78" t="n">
        <x:v>1145</x:v>
      </x:c>
      <x:c r="F5" s="78" t="n">
        <x:v>1170</x:v>
      </x:c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EBITDA Margin</x:v>
      </x:c>
      <x:c r="B6" s="79" t="n">
        <x:f>B5/B4</x:f>
        <x:v>0.3556742323097463</x:v>
      </x:c>
      <x:c r="C6" s="79" t="n">
        <x:f>C5/C4</x:f>
        <x:v>0.359061438715653</x:v>
      </x:c>
      <x:c r="D6" s="79" t="n">
        <x:f>D5/D4</x:f>
        <x:v>0.36343402225755167</x:v>
      </x:c>
      <x:c r="E6" s="79" t="n">
        <x:f>E5/E4</x:f>
        <x:v>0.3619981030667088</x:v>
      </x:c>
      <x:c r="F6" s="79" t="n">
        <x:f>F5/F4</x:f>
        <x:v>0.36267823930564164</x:v>
      </x:c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EBIT</x:v>
      </x:c>
      <x:c r="B7" s="78" t="n">
        <x:v>1027</x:v>
      </x:c>
      <x:c r="C7" s="78" t="n">
        <x:v>853</x:v>
      </x:c>
      <x:c r="D7" s="78" t="n">
        <x:v>828</x:v>
      </x:c>
      <x:c r="E7" s="78" t="n">
        <x:v>825</x:v>
      </x:c>
      <x:c r="F7" s="78" t="n">
        <x:v>845</x:v>
      </x:c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FCFF</x:v>
      </x:c>
      <x:c r="B8" s="78" t="n">
        <x:v>903</x:v>
      </x:c>
      <x:c r="C8" s="78" t="n">
        <x:v>696</x:v>
      </x:c>
      <x:c r="D8" s="78" t="n">
        <x:v>611</x:v>
      </x:c>
      <x:c r="E8" s="78" t="n">
        <x:v>814</x:v>
      </x:c>
      <x:c r="F8" s="78" t="n">
        <x:v>806</x:v>
      </x:c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Net Debt</x:v>
      </x:c>
      <x:c r="B9" s="78" t="n">
        <x:v>609</x:v>
      </x:c>
      <x:c r="C9" s="78" t="n">
        <x:v>491</x:v>
      </x:c>
      <x:c r="D9" s="78" t="n">
        <x:v>464</x:v>
      </x:c>
      <x:c r="E9" s="78" t="n">
        <x:v>279</x:v>
      </x:c>
      <x:c r="F9" s="78" t="n">
        <x:v>128</x:v>
      </x:c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Urea Volume (mt)</x:v>
      </x:c>
      <x:c r="B10" s="80" t="n">
        <x:v>4.35</x:v>
      </x:c>
      <x:c r="C10" s="80" t="n">
        <x:v>4.55</x:v>
      </x:c>
      <x:c r="D10" s="80" t="n">
        <x:v>4.7</x:v>
      </x:c>
      <x:c r="E10" s="80" t="n">
        <x:v>4.75</x:v>
      </x:c>
      <x:c r="F10" s="80" t="n">
        <x:v>4.8</x:v>
      </x:c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NH3 Volume (mt)</x:v>
      </x:c>
      <x:c r="B11" s="80" t="n">
        <x:v>1.2</x:v>
      </x:c>
      <x:c r="C11" s="80" t="n">
        <x:v>1.3</x:v>
      </x:c>
      <x:c r="D11" s="80" t="n">
        <x:v>1.35</x:v>
      </x:c>
      <x:c r="E11" s="80" t="n">
        <x:v>1.38</x:v>
      </x:c>
      <x:c r="F11" s="80" t="n">
        <x:v>1.4</x:v>
      </x:c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Egypt Urea ($/t)</x:v>
      </x:c>
      <x:c r="B12" s="78" t="n">
        <x:v>575</x:v>
      </x:c>
      <x:c r="C12" s="78" t="n">
        <x:v>460</x:v>
      </x:c>
      <x:c r="D12" s="78" t="n">
        <x:v>420</x:v>
      </x:c>
      <x:c r="E12" s="78" t="n">
        <x:v>410</x:v>
      </x:c>
      <x:c r="F12" s="78" t="n">
        <x:v>410</x:v>
      </x:c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 t="str">
        <x:v>ME Ammonia ($/t)</x:v>
      </x:c>
      <x:c r="B13" s="78" t="n">
        <x:v>525</x:v>
      </x:c>
      <x:c r="C13" s="78" t="n">
        <x:v>430</x:v>
      </x:c>
      <x:c r="D13" s="78" t="n">
        <x:v>400</x:v>
      </x:c>
      <x:c r="E13" s="78" t="n">
        <x:v>395</x:v>
      </x:c>
      <x:c r="F13" s="78" t="n">
        <x:v>395</x:v>
      </x:c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7bfb5ad2e9424766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6" max="6" width="28" hidden="0" customWidth="1"/>
    <x:col min="7" max="7" width="14" hidden="0" customWidth="1"/>
    <x:col min="8" max="8" width="28" hidden="0" customWidth="1"/>
  </x:cols>
  <x:sheetData>
    <x:row r="1">
      <x:c r="A1" s="92" t="str">
        <x:v>Current Standalone Valuation — 27 Sep 2026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DCF Sensitivity — AED/share</x:v>
      </x:c>
      <x:c r="B3" s="58" t="str">
        <x:v>g 1.5%</x:v>
      </x:c>
      <x:c r="C3" s="58" t="str">
        <x:v>g 2.0%</x:v>
      </x:c>
      <x:c r="D3" s="58" t="str">
        <x:v>g 2.5%</x:v>
      </x:c>
      <x:c r="E3" s="57" t="str"/>
      <x:c r="F3" s="58" t="str">
        <x:v>EV-to-Equity Bridge</x:v>
      </x:c>
      <x:c r="G3" s="58" t="str">
        <x:v>$bn</x:v>
      </x:c>
      <x:c r="H3" s="58" t="str">
        <x:v>Notes</x:v>
      </x:c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WACC 9.5%</x:v>
      </x:c>
      <x:c r="B4" s="84" t="n">
        <x:v>3.33</x:v>
      </x:c>
      <x:c r="C4" s="84" t="n">
        <x:v>3.56</x:v>
      </x:c>
      <x:c r="D4" s="84" t="n">
        <x:v>3.81</x:v>
      </x:c>
      <x:c r="E4" s="57"/>
      <x:c r="F4" s="57" t="str">
        <x:v>DCF Enterprise Value</x:v>
      </x:c>
      <x:c r="G4" s="85" t="n">
        <x:v>9.286</x:v>
      </x:c>
      <x:c r="H4" s="57" t="str">
        <x:v>Base current DCF</x:v>
      </x:c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WACC 10.0%</x:v>
      </x:c>
      <x:c r="B5" s="84" t="n">
        <x:v>3.08</x:v>
      </x:c>
      <x:c r="C5" s="84" t="n">
        <x:v>3.27</x:v>
      </x:c>
      <x:c r="D5" s="84" t="n">
        <x:v>3.5</x:v>
      </x:c>
      <x:c r="E5" s="57"/>
      <x:c r="F5" s="57" t="str">
        <x:v>Less: Net Debt</x:v>
      </x:c>
      <x:c r="G5" s="85" t="n">
        <x:v>-0.621</x:v>
      </x:c>
      <x:c r="H5" s="57" t="str">
        <x:v>30 Jun 2026</x:v>
      </x:c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WACC 10.5%</x:v>
      </x:c>
      <x:c r="B6" s="84" t="n">
        <x:v>2.86</x:v>
      </x:c>
      <x:c r="C6" s="84" t="n">
        <x:v>3.03</x:v>
      </x:c>
      <x:c r="D6" s="84" t="n">
        <x:v>3.22</x:v>
      </x:c>
      <x:c r="E6" s="57"/>
      <x:c r="F6" s="57" t="str">
        <x:v>Less: Lease Liabilities</x:v>
      </x:c>
      <x:c r="G6" s="85" t="n">
        <x:v>-0.153</x:v>
      </x:c>
      <x:c r="H6" s="57" t="str">
        <x:v>30 Jun 2026</x:v>
      </x:c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WACC 11.0%</x:v>
      </x:c>
      <x:c r="B7" s="84" t="n">
        <x:v>2.66</x:v>
      </x:c>
      <x:c r="C7" s="84" t="n">
        <x:v>2.81</x:v>
      </x:c>
      <x:c r="D7" s="84" t="n">
        <x:v>2.97</x:v>
      </x:c>
      <x:c r="E7" s="57"/>
      <x:c r="F7" s="57" t="str">
        <x:v>Less: Sorfert Liability</x:v>
      </x:c>
      <x:c r="G7" s="85" t="n">
        <x:v>-0.468</x:v>
      </x:c>
      <x:c r="H7" s="57" t="str">
        <x:v>Debt-like claim</x:v>
      </x:c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WACC 11.5%</x:v>
      </x:c>
      <x:c r="B8" s="84" t="n">
        <x:v>2.48</x:v>
      </x:c>
      <x:c r="C8" s="84" t="n">
        <x:v>2.61</x:v>
      </x:c>
      <x:c r="D8" s="84" t="n">
        <x:v>2.76</x:v>
      </x:c>
      <x:c r="E8" s="57"/>
      <x:c r="F8" s="57" t="str">
        <x:v>Less: Economic NCI</x:v>
      </x:c>
      <x:c r="G8" s="85" t="n">
        <x:v>-1.3</x:v>
      </x:c>
      <x:c r="H8" s="57" t="str">
        <x:v>Analyst estimate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 t="str">
        <x:v>Equity Value</x:v>
      </x:c>
      <x:c r="G9" s="85" t="n">
        <x:f>SUM(G4:G8)</x:f>
        <x:v>6.743999999999999</x:v>
      </x:c>
      <x:c r="H9" s="57" t="str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 t="str">
        <x:v>Shares Outstanding</x:v>
      </x:c>
      <x:c r="G10" s="85" t="n">
        <x:v>8.183</x:v>
      </x:c>
      <x:c r="H10" s="57" t="str">
        <x:v>bn</x:v>
      </x:c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8" t="str">
        <x:v>Method</x:v>
      </x:c>
      <x:c r="B11" s="58" t="str">
        <x:v>Low</x:v>
      </x:c>
      <x:c r="C11" s="58" t="str">
        <x:v>Mid / Base</x:v>
      </x:c>
      <x:c r="D11" s="58" t="str">
        <x:v>High</x:v>
      </x:c>
      <x:c r="E11" s="57"/>
      <x:c r="F11" s="57" t="str">
        <x:v>Value / Share ($)</x:v>
      </x:c>
      <x:c r="G11" s="85" t="n">
        <x:f>G9/G10</x:f>
        <x:v>0.8241476231211046</x:v>
      </x:c>
      <x:c r="H11" s="57" t="str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Current DCF</x:v>
      </x:c>
      <x:c r="B12" s="84" t="n">
        <x:v>2.6</x:v>
      </x:c>
      <x:c r="C12" s="84" t="n">
        <x:v>3.03</x:v>
      </x:c>
      <x:c r="D12" s="84" t="n">
        <x:v>3.5</x:v>
      </x:c>
      <x:c r="E12" s="57"/>
      <x:c r="F12" s="57" t="str">
        <x:v>Value / Share (AED)</x:v>
      </x:c>
      <x:c r="G12" s="85" t="n">
        <x:f>G11*Assumptions!$B$4</x:f>
        <x:v>3.0266821459122566</x:v>
      </x:c>
      <x:c r="H12" s="57" t="str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 t="str">
        <x:v>Current Trading Comps</x:v>
      </x:c>
      <x:c r="B13" s="84" t="n">
        <x:v>2</x:v>
      </x:c>
      <x:c r="C13" s="84" t="n">
        <x:v>2.55</x:v>
      </x:c>
      <x:c r="D13" s="84" t="n">
        <x:v>3.1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 t="str">
        <x:v>Selected Discussion Range</x:v>
      </x:c>
      <x:c r="B14" s="84" t="n">
        <x:v>2.4</x:v>
      </x:c>
      <x:c r="C14" s="84" t="n">
        <x:v>2.85</x:v>
      </x:c>
      <x:c r="D14" s="84" t="n">
        <x:v>3.3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 t="str">
        <x:v>Current Market Price</x:v>
      </x:c>
      <x:c r="B15" s="84" t="n">
        <x:v>2.58</x:v>
      </x:c>
      <x:c r="C15" s="84" t="n">
        <x:v>2.58</x:v>
      </x:c>
      <x:c r="D15" s="84" t="n">
        <x:v>2.58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2" hidden="0" customWidth="1"/>
    <x:col min="4" max="4" width="50" hidden="0" customWidth="1"/>
  </x:cols>
  <x:sheetData>
    <x:row r="1">
      <x:c r="A1" s="92" t="str">
        <x:v>Ex-Ante Deal Economics — 15 Dec 2023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Output</x:v>
      </x:c>
      <x:c r="B3" s="58" t="str">
        <x:v>Formula / Value</x:v>
      </x:c>
      <x:c r="C3" s="58" t="str">
        <x:v>Unit</x:v>
      </x:c>
      <x:c r="D3" s="58" t="str">
        <x:v>Notes</x:v>
      </x:c>
      <x:c r="E3" s="57"/>
      <x:c r="F3" s="58" t="str">
        <x:v>Scenario</x:v>
      </x:c>
      <x:c r="G3" s="58" t="str">
        <x:v>Deal NPV ($bn)</x:v>
      </x:c>
      <x:c r="H3" s="58" t="str">
        <x:v>5Y IRR</x:v>
      </x:c>
      <x:c r="I3" s="58" t="str">
        <x:v>5Y MOIC</x:v>
      </x:c>
      <x:c r="J3" s="58" t="str">
        <x:v>Notes</x:v>
      </x:c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Deal Price</x:v>
      </x:c>
      <x:c r="B4" s="88" t="n">
        <x:f>Assumptions!B8</x:f>
        <x:v>3.2</x:v>
      </x:c>
      <x:c r="C4" s="57" t="str">
        <x:v>AED/share</x:v>
      </x:c>
      <x:c r="D4" s="57" t="str">
        <x:v>Headline transaction price</x:v>
      </x:c>
      <x:c r="E4" s="57"/>
      <x:c r="F4" s="57" t="str">
        <x:v>Downside</x:v>
      </x:c>
      <x:c r="G4" s="85" t="n">
        <x:v>-0.71</x:v>
      </x:c>
      <x:c r="H4" s="79" t="n">
        <x:v>0</x:v>
      </x:c>
      <x:c r="I4" s="89" t="n">
        <x:v>0.99</x:v>
      </x:c>
      <x:c r="J4" s="57" t="str">
        <x:v>Weak commodity / lower synergies</x:v>
      </x:c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Base Standalone Value</x:v>
      </x:c>
      <x:c r="B5" s="88" t="n">
        <x:f>Assumptions!B9</x:f>
        <x:v>2.8</x:v>
      </x:c>
      <x:c r="C5" s="57" t="str">
        <x:v>AED/share</x:v>
      </x:c>
      <x:c r="D5" s="57" t="str">
        <x:v>Ex-ante standalone DCF</x:v>
      </x:c>
      <x:c r="E5" s="57"/>
      <x:c r="F5" s="57" t="str">
        <x:v>Base</x:v>
      </x:c>
      <x:c r="G5" s="85" t="n">
        <x:v>-0.015</x:v>
      </x:c>
      <x:c r="H5" s="79" t="n">
        <x:v>0.07</x:v>
      </x:c>
      <x:c r="I5" s="89" t="n">
        <x:v>1.36</x:v>
      </x:c>
      <x:c r="J5" s="57" t="str">
        <x:v>Approx. breakeven</x:v>
      </x:c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Value Gap / Share</x:v>
      </x:c>
      <x:c r="B6" s="88" t="n">
        <x:f>B4-B5</x:f>
        <x:v>0.40000000000000036</x:v>
      </x:c>
      <x:c r="C6" s="57" t="str">
        <x:v>AED/share</x:v>
      </x:c>
      <x:c r="D6" s="57" t="str">
        <x:v>Price less standalone value</x:v>
      </x:c>
      <x:c r="E6" s="57"/>
      <x:c r="F6" s="57" t="str">
        <x:v>Upside</x:v>
      </x:c>
      <x:c r="G6" s="85" t="n">
        <x:v>0.68</x:v>
      </x:c>
      <x:c r="H6" s="79" t="n">
        <x:v>0.13</x:v>
      </x:c>
      <x:c r="I6" s="89" t="n">
        <x:v>1.71</x:v>
      </x:c>
      <x:c r="J6" s="57" t="str">
        <x:v>Stronger cycle / higher benefits</x:v>
      </x:c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Standalone Acquired Stake Value</x:v>
      </x:c>
      <x:c r="B7" s="88" t="n">
        <x:f>Assumptions!B9*Assumptions!B6/Assumptions!B4/1000</x:f>
        <x:v>3.164559972552757</x:v>
      </x:c>
      <x:c r="C7" s="57" t="str">
        <x:v>$bn</x:v>
      </x:c>
      <x:c r="D7" s="57" t="str">
        <x:v>AED value converted to USD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Purchase Consideration</x:v>
      </x:c>
      <x:c r="B8" s="88" t="n">
        <x:f>Assumptions!B12</x:f>
        <x:v>3.62</x:v>
      </x:c>
      <x:c r="C8" s="57" t="str">
        <x:v>$bn</x:v>
      </x:c>
      <x:c r="D8" s="57" t="str">
        <x:v>Headline consideration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Strategic Value Gap</x:v>
      </x:c>
      <x:c r="B9" s="88" t="n">
        <x:f>B8-B7</x:f>
        <x:v>0.455440027447243</x:v>
      </x:c>
      <x:c r="C9" s="57" t="str">
        <x:v>$bn</x:v>
      </x:c>
      <x:c r="D9" s="57" t="str">
        <x:v>Purchase price less standalone stake value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Required PV if 50% only</x:v>
      </x:c>
      <x:c r="B10" s="88" t="n">
        <x:f>B9/Assumptions!B14</x:f>
        <x:v>0.910880054894486</x:v>
      </x:c>
      <x:c r="C10" s="57" t="str">
        <x:v>$bn</x:v>
      </x:c>
      <x:c r="D10" s="57" t="str">
        <x:v>Company-wide PV if only acquired stake benefits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Required PV if 86.2% ownership</x:v>
      </x:c>
      <x:c r="B11" s="88" t="n">
        <x:f>B9/Assumptions!B13</x:f>
        <x:v>0.5283527000548063</x:v>
      </x:c>
      <x:c r="C11" s="57" t="str">
        <x:v>$bn</x:v>
      </x:c>
      <x:c r="D11" s="57" t="str">
        <x:v>Company-wide PV if benefits accrue across ADNOC post-deal ownership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Modeled Company-wide Synergy PV</x:v>
      </x:c>
      <x:c r="B12" s="88" t="n">
        <x:f>Assumptions!B16</x:f>
        <x:v>0.511</x:v>
      </x:c>
      <x:c r="C12" s="57" t="str">
        <x:v>$bn</x:v>
      </x:c>
      <x:c r="D12" s="57" t="str">
        <x:v>Analyst assumption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 t="str">
        <x:v>ADNOC Captured Synergy PV</x:v>
      </x:c>
      <x:c r="B13" s="88" t="n">
        <x:f>Assumptions!B17</x:f>
        <x:v>0.441</x:v>
      </x:c>
      <x:c r="C13" s="57" t="str">
        <x:v>$bn</x:v>
      </x:c>
      <x:c r="D13" s="57" t="str">
        <x:v>Analyst assumption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 t="str">
        <x:v>Value to ADNOC</x:v>
      </x:c>
      <x:c r="B14" s="88" t="n">
        <x:f>B7+B13</x:f>
        <x:v>3.605559972552757</x:v>
      </x:c>
      <x:c r="C14" s="57" t="str">
        <x:v>$bn</x:v>
      </x:c>
      <x:c r="D14" s="57" t="str">
        <x:v>Standalone stake + captured synergy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 t="str">
        <x:v>Deal NPV</x:v>
      </x:c>
      <x:c r="B15" s="88" t="n">
        <x:f>B14-B8</x:f>
        <x:v>-0.014440027447243153</x:v>
      </x:c>
      <x:c r="C15" s="57" t="str">
        <x:v>$bn</x:v>
      </x:c>
      <x:c r="D15" s="57" t="str">
        <x:v>Value to ADNOC less consideration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 t="str">
        <x:v>Break-even Price</x:v>
      </x:c>
      <x:c r="B16" s="88" t="n">
        <x:v>3.19</x:v>
      </x:c>
      <x:c r="C16" s="57" t="str">
        <x:v>AED/share</x:v>
      </x:c>
      <x:c r="D16" s="57" t="str">
        <x:v>Phase 6 model output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 t="str">
        <x:v>Break-even Urea</x:v>
      </x:c>
      <x:c r="B17" s="88" t="n">
        <x:f>Assumptions!B18</x:f>
        <x:v>410</x:v>
      </x:c>
      <x:c r="C17" s="57" t="str">
        <x:v>$/t</x:v>
      </x:c>
      <x:c r="D17" s="57" t="str">
        <x:v>Phase 6 model output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 t="str">
        <x:v>Break-even Utilization</x:v>
      </x:c>
      <x:c r="B18" s="79" t="n">
        <x:f>Assumptions!B19</x:f>
        <x:v>0.925</x:v>
      </x:c>
      <x:c r="C18" s="57" t="str">
        <x:v>%</x:v>
      </x:c>
      <x:c r="D18" s="57" t="str">
        <x:v>Phase 6 model output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 t="str">
        <x:v>Base 5Y IRR</x:v>
      </x:c>
      <x:c r="B19" s="79" t="n">
        <x:f>Assumptions!B20</x:f>
        <x:v>0.07</x:v>
      </x:c>
      <x:c r="C19" s="57" t="str">
        <x:v>%</x:v>
      </x:c>
      <x:c r="D19" s="57" t="str">
        <x:v>Analytical return framework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 t="str">
        <x:v>Base 5Y MOIC</x:v>
      </x:c>
      <x:c r="B20" s="89" t="n">
        <x:f>Assumptions!B21</x:f>
        <x:v>1.36</x:v>
      </x:c>
      <x:c r="C20" s="57" t="str">
        <x:v>x</x:v>
      </x:c>
      <x:c r="D20" s="57" t="str">
        <x:v>Analytical return framework</x:v>
      </x:c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89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6" max="6" width="28" hidden="0" customWidth="1"/>
    <x:col min="7" max="7" width="14" hidden="0" customWidth="1"/>
    <x:col min="8" max="8" width="14" hidden="0" customWidth="1"/>
  </x:cols>
  <x:sheetData>
    <x:row r="1">
      <x:c r="A1" s="92" t="str">
        <x:v>Transaction Sensitivities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Deal NPV Direction — Urea Price × After-tax Synergy</x:v>
      </x:c>
      <x:c r="B3" s="58" t="str">
        <x:v>$30m</x:v>
      </x:c>
      <x:c r="C3" s="58" t="str">
        <x:v>$50m</x:v>
      </x:c>
      <x:c r="D3" s="58" t="str">
        <x:v>$70m</x:v>
      </x:c>
      <x:c r="E3" s="57"/>
      <x:c r="F3" s="58" t="str">
        <x:v>Break-even Outputs</x:v>
      </x:c>
      <x:c r="G3" s="58" t="str">
        <x:v>Value</x:v>
      </x:c>
      <x:c r="H3" s="58" t="str">
        <x:v>Unit</x:v>
      </x:c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$350/t</x:v>
      </x:c>
      <x:c r="B4" s="57" t="str">
        <x:v>Deeply negative</x:v>
      </x:c>
      <x:c r="C4" s="57" t="str">
        <x:v>Negative</x:v>
      </x:c>
      <x:c r="D4" s="57" t="str">
        <x:v>Negative</x:v>
      </x:c>
      <x:c r="E4" s="57"/>
      <x:c r="F4" s="57" t="str">
        <x:v>Purchase price</x:v>
      </x:c>
      <x:c r="G4" s="80" t="n">
        <x:v>3.19</x:v>
      </x:c>
      <x:c r="H4" s="57" t="str">
        <x:v>AED/share</x:v>
      </x:c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$400/t</x:v>
      </x:c>
      <x:c r="B5" s="57" t="str">
        <x:v>Negative</x:v>
      </x:c>
      <x:c r="C5" s="57" t="str">
        <x:v>Breakeven</x:v>
      </x:c>
      <x:c r="D5" s="57" t="str">
        <x:v>Positive</x:v>
      </x:c>
      <x:c r="E5" s="57"/>
      <x:c r="F5" s="57" t="str">
        <x:v>Normalized urea</x:v>
      </x:c>
      <x:c r="G5" s="80" t="n">
        <x:v>410</x:v>
      </x:c>
      <x:c r="H5" s="57" t="str">
        <x:v>$/t</x:v>
      </x:c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$450/t</x:v>
      </x:c>
      <x:c r="B6" s="57" t="str">
        <x:v>Positive</x:v>
      </x:c>
      <x:c r="C6" s="57" t="str">
        <x:v>Strongly positive</x:v>
      </x:c>
      <x:c r="D6" s="57" t="str">
        <x:v>Strongly positive</x:v>
      </x:c>
      <x:c r="E6" s="57"/>
      <x:c r="F6" s="57" t="str">
        <x:v>Sustainable utilization</x:v>
      </x:c>
      <x:c r="G6" s="79" t="n">
        <x:v>0.925</x:v>
      </x:c>
      <x:c r="H6" s="57" t="str">
        <x:v>%</x:v>
      </x:c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/>
      <x:c r="B7" s="57"/>
      <x:c r="C7" s="57"/>
      <x:c r="D7" s="57"/>
      <x:c r="E7" s="57"/>
      <x:c r="F7" s="57" t="str">
        <x:v>After-tax annual synergy</x:v>
      </x:c>
      <x:c r="G7" s="80" t="n">
        <x:v>52</x:v>
      </x:c>
      <x:c r="H7" s="57" t="str">
        <x:v>$mm</x:v>
      </x:c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/>
      <x:c r="B8" s="57"/>
      <x:c r="C8" s="57"/>
      <x:c r="D8" s="57"/>
      <x:c r="E8" s="57"/>
      <x:c r="F8" s="57" t="str">
        <x:v>Pre-tax annual synergy</x:v>
      </x:c>
      <x:c r="G8" s="80" t="n">
        <x:v>63</x:v>
      </x:c>
      <x:c r="H8" s="57" t="str">
        <x:v>$mm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8" t="str">
        <x:v>Utilization × Urea Price</x:v>
      </x:c>
      <x:c r="B9" s="58" t="str">
        <x:v>$350/t</x:v>
      </x:c>
      <x:c r="C9" s="58" t="str">
        <x:v>$410/t</x:v>
      </x:c>
      <x:c r="D9" s="58" t="str">
        <x:v>$470/t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 t="str">
        <x:v>85%</x:v>
      </x:c>
      <x:c r="B10" s="57" t="str">
        <x:v>Weak</x:v>
      </x:c>
      <x:c r="C10" s="57" t="str">
        <x:v>Below base</x:v>
      </x:c>
      <x:c r="D10" s="57" t="str">
        <x:v>Moderate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 t="str">
        <x:v>92%</x:v>
      </x:c>
      <x:c r="B11" s="57" t="str">
        <x:v>Challenged</x:v>
      </x:c>
      <x:c r="C11" s="57" t="str">
        <x:v>Base break-even</x:v>
      </x:c>
      <x:c r="D11" s="57" t="str">
        <x:v>Strong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 t="str">
        <x:v>96%</x:v>
      </x:c>
      <x:c r="B12" s="57" t="str">
        <x:v>Improved</x:v>
      </x:c>
      <x:c r="C12" s="57" t="str">
        <x:v>Positive</x:v>
      </x:c>
      <x:c r="D12" s="57" t="str">
        <x:v>Very strong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45" hidden="0" customWidth="1"/>
  </x:cols>
  <x:sheetData>
    <x:row r="1">
      <x:c r="A1" s="92" t="str">
        <x:v>Model Quality Checks</x:v>
      </x:c>
      <x:c r="B1" s="92"/>
      <x:c r="C1" s="92"/>
      <x:c r="D1" s="92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8" t="str">
        <x:v>Check</x:v>
      </x:c>
      <x:c r="B3" s="58" t="str">
        <x:v>Status</x:v>
      </x:c>
      <x:c r="C3" s="58" t="str">
        <x:v>Notes</x:v>
      </x:c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 t="str">
        <x:v>EV-to-equity bridge check</x:v>
      </x:c>
      <x:c r="B4" s="57" t="str">
        <x:f>IF(ABS(Valuation!G9-(Valuation!G4+Valuation!G5+Valuation!G6+Valuation!G7+Valuation!G8))&lt;0.01,"PASS","CHECK")</x:f>
        <x:v>PASS</x:v>
      </x:c>
      <x:c r="C4" s="57" t="str">
        <x:v>Equity value formula</x:v>
      </x:c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 t="str">
        <x:v>Deal NPV check</x:v>
      </x:c>
      <x:c r="B5" s="57" t="str">
        <x:f>IF(ABS(Deal_Economics!B14-(Deal_Economics!B13-Deal_Economics!B8))&lt;0.01,"PASS","CHECK")</x:f>
        <x:v>CHECK</x:v>
      </x:c>
      <x:c r="C5" s="57" t="str">
        <x:v>Value to ADNOC less purchase consideration</x:v>
      </x:c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 t="str">
        <x:v>Strategic gap check</x:v>
      </x:c>
      <x:c r="B6" s="57" t="str">
        <x:f>IF(ABS(Deal_Economics!B9-(Deal_Economics!B8-Deal_Economics!B7))&lt;0.01,"PASS","CHECK")</x:f>
        <x:v>PASS</x:v>
      </x:c>
      <x:c r="C6" s="57" t="str">
        <x:v>Purchase less standalone stake value</x:v>
      </x:c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 t="str">
        <x:v>Scenario table populated</x:v>
      </x:c>
      <x:c r="B7" s="57" t="str">
        <x:f>IF(COUNTA(Deal_Economics!F4:J6)=15,"PASS","CHECK")</x:f>
        <x:v>PASS</x:v>
      </x:c>
      <x:c r="C7" s="57" t="str">
        <x:v>Scenario output</x:v>
      </x:c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 t="str">
        <x:v>No earn-out formula fabricated</x:v>
      </x:c>
      <x:c r="B8" s="57" t="str">
        <x:v>PASS</x:v>
      </x:c>
      <x:c r="C8" s="57" t="str">
        <x:v>Qualitative QC</x:v>
      </x:c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 t="str">
        <x:v>No PPA fabricated</x:v>
      </x:c>
      <x:c r="B9" s="57" t="str">
        <x:v>PASS</x:v>
      </x:c>
      <x:c r="C9" s="57" t="str">
        <x:v>Qualitative QC</x:v>
      </x:c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</x:sheetData>
  <x:mergeCells>
    <x:mergeCell ref="A1:D1"/>
  </x:mergeCells>
  <x:pageMargins left="0.7" right="0.7" top="0.75" bottom="0.75" header="0.3" footer="0.3"/>
</x:worksheet>
</file>